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L:\CACEIS-CARAR$\GR-ES\EBS\General\Remi\Projet_Basket\Basket_Trade_git\"/>
    </mc:Choice>
  </mc:AlternateContent>
  <xr:revisionPtr revIDLastSave="0" documentId="8_{E31ED3A7-FD71-4CA5-B76C-DCDE648B14A0}" xr6:coauthVersionLast="45" xr6:coauthVersionMax="45" xr10:uidLastSave="{00000000-0000-0000-0000-000000000000}"/>
  <bookViews>
    <workbookView xWindow="2160" yWindow="1425" windowWidth="21570" windowHeight="9195" xr2:uid="{00000000-000D-0000-FFFF-FFFF00000000}"/>
  </bookViews>
  <sheets>
    <sheet name="Template_Import" sheetId="1" r:id="rId1"/>
    <sheet name="Feuil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0" i="1" l="1"/>
  <c r="H39" i="1"/>
  <c r="H38" i="1"/>
  <c r="H37" i="1"/>
  <c r="H16" i="1"/>
  <c r="H15" i="1"/>
  <c r="H9" i="1"/>
  <c r="H22" i="1" l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21" i="1"/>
</calcChain>
</file>

<file path=xl/sharedStrings.xml><?xml version="1.0" encoding="utf-8"?>
<sst xmlns="http://schemas.openxmlformats.org/spreadsheetml/2006/main" count="321" uniqueCount="84">
  <si>
    <t>Isin</t>
  </si>
  <si>
    <t>Side</t>
  </si>
  <si>
    <t>Quantity</t>
  </si>
  <si>
    <t>Price</t>
  </si>
  <si>
    <t>Market</t>
  </si>
  <si>
    <t>XPAR</t>
  </si>
  <si>
    <t>Buy</t>
  </si>
  <si>
    <t>Exchange</t>
  </si>
  <si>
    <t>Currency</t>
  </si>
  <si>
    <t>Day</t>
  </si>
  <si>
    <t>ValidityType</t>
  </si>
  <si>
    <t>ExpireDate</t>
  </si>
  <si>
    <t>Comment</t>
  </si>
  <si>
    <t>EUR</t>
  </si>
  <si>
    <t>OrderType</t>
  </si>
  <si>
    <t>StopPrice</t>
  </si>
  <si>
    <t>Account</t>
  </si>
  <si>
    <t>Reference</t>
  </si>
  <si>
    <t>FR0007054358</t>
  </si>
  <si>
    <t>242A</t>
  </si>
  <si>
    <t>30% vol</t>
  </si>
  <si>
    <t>MIC Code</t>
  </si>
  <si>
    <t>ISO</t>
  </si>
  <si>
    <t>Buy/Sell</t>
  </si>
  <si>
    <t>Optionel, requis pour GTD</t>
  </si>
  <si>
    <t>Obligatoire</t>
  </si>
  <si>
    <t>Optionnel</t>
  </si>
  <si>
    <t>Exemple</t>
  </si>
  <si>
    <t>Limit, Market, Stop, StopLimit</t>
  </si>
  <si>
    <t>Optionel, requis pour Limit et StopLimit</t>
  </si>
  <si>
    <t>Optionel, requis pour Stop et StopLimit</t>
  </si>
  <si>
    <t>Day, GTD, GTC, AtClose, AtOpen</t>
  </si>
  <si>
    <t>Obligatoire et unique</t>
  </si>
  <si>
    <t>Format/Valeurs</t>
  </si>
  <si>
    <t>Requis</t>
  </si>
  <si>
    <t>Entier</t>
  </si>
  <si>
    <t>Décimal</t>
  </si>
  <si>
    <t>YYYYMMDD</t>
  </si>
  <si>
    <t>Bloomberg code</t>
  </si>
  <si>
    <t>LU1437018598</t>
  </si>
  <si>
    <t>BUY</t>
  </si>
  <si>
    <t>DAY</t>
  </si>
  <si>
    <t>IE00B4WXJJ64</t>
  </si>
  <si>
    <t>SELL</t>
  </si>
  <si>
    <t>LU2090062949</t>
  </si>
  <si>
    <t>IE00BZ163G84</t>
  </si>
  <si>
    <t>LU1646361276</t>
  </si>
  <si>
    <t>IE00B53QG562</t>
  </si>
  <si>
    <t>LU1681049109</t>
  </si>
  <si>
    <t>FR0013041530</t>
  </si>
  <si>
    <t>IE00BRKWGL70</t>
  </si>
  <si>
    <t>IE00BZ0G8C04</t>
  </si>
  <si>
    <t>IE00BL25JL35</t>
  </si>
  <si>
    <t>IE00BDFL4P12</t>
  </si>
  <si>
    <t>IE00BZ163H91</t>
  </si>
  <si>
    <t>FR0010371609</t>
  </si>
  <si>
    <t>SICO</t>
  </si>
  <si>
    <t>FR0010889857</t>
  </si>
  <si>
    <t>FR0011170786</t>
  </si>
  <si>
    <t>FR0011171198</t>
  </si>
  <si>
    <t>ISNE</t>
  </si>
  <si>
    <t>FR0011171206</t>
  </si>
  <si>
    <t>FR0011525534</t>
  </si>
  <si>
    <t>FR0013073731</t>
  </si>
  <si>
    <t>E574</t>
  </si>
  <si>
    <t>E2AH</t>
  </si>
  <si>
    <t>IE00B3F81R35</t>
  </si>
  <si>
    <t>E9VF</t>
  </si>
  <si>
    <t>LU0389811539</t>
  </si>
  <si>
    <t>E464</t>
  </si>
  <si>
    <t>LU0846194776</t>
  </si>
  <si>
    <t>LU1145633233</t>
  </si>
  <si>
    <t>E585</t>
  </si>
  <si>
    <t>LU1191877965</t>
  </si>
  <si>
    <t>E51G</t>
  </si>
  <si>
    <t>LU1551066035</t>
  </si>
  <si>
    <t>E74R</t>
  </si>
  <si>
    <t>LU1663881479</t>
  </si>
  <si>
    <t>E750</t>
  </si>
  <si>
    <t>E86E</t>
  </si>
  <si>
    <t>LU2420650777</t>
  </si>
  <si>
    <t>IE00B6YX5M31</t>
  </si>
  <si>
    <t>FR0010429068</t>
  </si>
  <si>
    <t>IE00BTJRMP35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</si>
</sst>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€_-;\-* #,##0.00\ _€_-;_-* &quot;-&quot;??\ _€_-;_-@_-"/>
    <numFmt numFmtId="165" formatCode="_-* #,##0_-;\-* #,##0_-;_-* &quot;-&quot;??_-;_-@_-"/>
    <numFmt numFmtId="166" formatCode="0.0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Segoe U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25">
    <xf numFmtId="0" fontId="0" fillId="0" borderId="0" xfId="0"/>
    <xf numFmtId="1" fontId="0" fillId="0" borderId="0" xfId="0" applyNumberFormat="1"/>
    <xf numFmtId="0" fontId="18" fillId="0" borderId="0" xfId="0" applyFont="1"/>
    <xf numFmtId="0" fontId="18" fillId="0" borderId="0" xfId="0" applyFont="1" applyAlignment="1">
      <alignment horizontal="left"/>
    </xf>
    <xf numFmtId="0" fontId="14" fillId="0" borderId="0" xfId="0" applyFont="1"/>
    <xf numFmtId="0" fontId="0" fillId="33" borderId="0" xfId="0" applyFill="1"/>
    <xf numFmtId="0" fontId="0" fillId="34" borderId="0" xfId="0" applyFill="1"/>
    <xf numFmtId="0" fontId="16" fillId="0" borderId="0" xfId="42" applyNumberFormat="1" applyFont="1"/>
    <xf numFmtId="0" fontId="14" fillId="0" borderId="0" xfId="0" applyFont="1" applyAlignment="1">
      <alignment horizontal="center"/>
    </xf>
    <xf numFmtId="164" fontId="14" fillId="0" borderId="0" xfId="0" applyNumberFormat="1" applyFont="1"/>
    <xf numFmtId="165" fontId="16" fillId="0" borderId="0" xfId="42" applyNumberFormat="1" applyFont="1"/>
    <xf numFmtId="165" fontId="19" fillId="0" borderId="0" xfId="42" applyNumberFormat="1" applyFont="1"/>
    <xf numFmtId="0" fontId="22" fillId="0" borderId="0" xfId="0" applyFont="1"/>
    <xf numFmtId="0" fontId="20" fillId="0" borderId="0" xfId="0" applyFont="1"/>
    <xf numFmtId="43" fontId="0" fillId="0" borderId="0" xfId="42" applyFont="1"/>
    <xf numFmtId="166" fontId="22" fillId="0" borderId="0" xfId="0" applyNumberFormat="1" applyFont="1"/>
    <xf numFmtId="0" fontId="0" fillId="0" borderId="0" xfId="0" applyFill="1"/>
    <xf numFmtId="0" fontId="14" fillId="0" borderId="0" xfId="0" applyFont="1" applyFill="1"/>
    <xf numFmtId="165" fontId="21" fillId="0" borderId="0" xfId="42" applyNumberFormat="1" applyFont="1"/>
    <xf numFmtId="0" fontId="21" fillId="0" borderId="0" xfId="42" applyNumberFormat="1" applyFont="1"/>
    <xf numFmtId="0" fontId="19" fillId="0" borderId="0" xfId="42" applyNumberFormat="1" applyFont="1"/>
    <xf numFmtId="0" fontId="23" fillId="0" borderId="0" xfId="42" applyNumberFormat="1" applyFont="1"/>
    <xf numFmtId="165" fontId="14" fillId="0" borderId="0" xfId="42" applyNumberFormat="1" applyFont="1" applyAlignment="1">
      <alignment horizontal="center"/>
    </xf>
    <xf numFmtId="0" fontId="0" fillId="0" borderId="0" xfId="0" applyFill="1" applyAlignment="1">
      <alignment wrapText="1"/>
    </xf>
    <xf numFmtId="0" fontId="22" fillId="0" borderId="0" xfId="0" applyFont="1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Milliers" xfId="42" builtinId="3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3"/>
  <sheetViews>
    <sheetView tabSelected="1" workbookViewId="0">
      <selection activeCell="O9" sqref="O9"/>
    </sheetView>
  </sheetViews>
  <sheetFormatPr baseColWidth="10" defaultRowHeight="15" x14ac:dyDescent="0.25"/>
  <cols>
    <col min="1" max="1" width="15.42578125" bestFit="1" customWidth="1"/>
    <col min="2" max="2" width="13.85546875" bestFit="1" customWidth="1"/>
    <col min="3" max="3" width="14.28515625" hidden="1" customWidth="1"/>
    <col min="4" max="4" width="9.28515625" hidden="1" customWidth="1"/>
    <col min="5" max="5" width="11.42578125" bestFit="1" customWidth="1"/>
    <col min="6" max="6" width="4.85546875" bestFit="1" customWidth="1"/>
    <col min="7" max="7" width="12.42578125" style="1" bestFit="1" customWidth="1"/>
    <col min="8" max="8" width="13.85546875" style="1" bestFit="1" customWidth="1"/>
    <col min="9" max="9" width="7.5703125" bestFit="1" customWidth="1"/>
    <col min="10" max="10" width="9.42578125" bestFit="1" customWidth="1"/>
    <col min="11" max="11" width="12.140625" bestFit="1" customWidth="1"/>
    <col min="12" max="12" width="10.7109375" bestFit="1" customWidth="1"/>
    <col min="13" max="13" width="12" bestFit="1" customWidth="1"/>
    <col min="14" max="14" width="12.7109375" bestFit="1" customWidth="1"/>
    <col min="15" max="15" width="9.7109375" bestFit="1" customWidth="1"/>
    <col min="18" max="19" width="0" hidden="1" customWidth="1"/>
    <col min="20" max="20" width="14" hidden="1" customWidth="1"/>
    <col min="21" max="23" width="0" hidden="1" customWidth="1"/>
  </cols>
  <sheetData>
    <row r="1" spans="1:22" x14ac:dyDescent="0.25">
      <c r="A1" t="s">
        <v>38</v>
      </c>
      <c r="B1" t="s">
        <v>0</v>
      </c>
      <c r="C1" t="s">
        <v>7</v>
      </c>
      <c r="D1" t="s">
        <v>7</v>
      </c>
      <c r="E1" t="s">
        <v>8</v>
      </c>
      <c r="F1" t="s">
        <v>1</v>
      </c>
      <c r="G1" s="1" t="s">
        <v>2</v>
      </c>
      <c r="H1" s="1" t="s">
        <v>14</v>
      </c>
      <c r="I1" t="s">
        <v>3</v>
      </c>
      <c r="J1" t="s">
        <v>15</v>
      </c>
      <c r="K1" t="s">
        <v>10</v>
      </c>
      <c r="L1" t="s">
        <v>11</v>
      </c>
      <c r="M1" t="s">
        <v>16</v>
      </c>
      <c r="N1" t="s">
        <v>17</v>
      </c>
      <c r="O1" t="s">
        <v>12</v>
      </c>
      <c r="T1" t="s">
        <v>55</v>
      </c>
      <c r="U1">
        <v>5000311480</v>
      </c>
      <c r="V1" s="5" t="s">
        <v>56</v>
      </c>
    </row>
    <row r="2" spans="1:22" x14ac:dyDescent="0.25">
      <c r="T2" t="s">
        <v>57</v>
      </c>
      <c r="U2">
        <v>5000311480</v>
      </c>
      <c r="V2" s="5" t="s">
        <v>56</v>
      </c>
    </row>
    <row r="3" spans="1:22" x14ac:dyDescent="0.25">
      <c r="B3" s="16" t="s">
        <v>39</v>
      </c>
      <c r="E3" t="s">
        <v>13</v>
      </c>
      <c r="F3" s="4" t="s">
        <v>43</v>
      </c>
      <c r="G3" s="18">
        <v>113750</v>
      </c>
      <c r="K3" t="s">
        <v>41</v>
      </c>
      <c r="T3" t="s">
        <v>58</v>
      </c>
      <c r="U3">
        <v>5000311480</v>
      </c>
      <c r="V3" s="5" t="s">
        <v>56</v>
      </c>
    </row>
    <row r="4" spans="1:22" x14ac:dyDescent="0.25">
      <c r="B4" s="16" t="s">
        <v>42</v>
      </c>
      <c r="C4" s="5" t="s">
        <v>64</v>
      </c>
      <c r="D4" s="5"/>
      <c r="E4" t="s">
        <v>13</v>
      </c>
      <c r="F4" s="4" t="s">
        <v>43</v>
      </c>
      <c r="G4" s="18">
        <v>52893</v>
      </c>
      <c r="K4" t="s">
        <v>41</v>
      </c>
      <c r="T4" t="s">
        <v>59</v>
      </c>
      <c r="U4">
        <v>5000311480</v>
      </c>
      <c r="V4" s="5" t="s">
        <v>60</v>
      </c>
    </row>
    <row r="5" spans="1:22" x14ac:dyDescent="0.25">
      <c r="B5" s="16" t="s">
        <v>44</v>
      </c>
      <c r="C5" s="5" t="s">
        <v>79</v>
      </c>
      <c r="D5" s="5"/>
      <c r="E5" t="s">
        <v>13</v>
      </c>
      <c r="F5" s="4" t="s">
        <v>43</v>
      </c>
      <c r="G5" s="18">
        <v>44854</v>
      </c>
      <c r="K5" t="s">
        <v>41</v>
      </c>
      <c r="T5" t="s">
        <v>61</v>
      </c>
      <c r="U5">
        <v>5000311480</v>
      </c>
      <c r="V5" s="5" t="s">
        <v>60</v>
      </c>
    </row>
    <row r="6" spans="1:22" x14ac:dyDescent="0.25">
      <c r="B6" s="16" t="s">
        <v>54</v>
      </c>
      <c r="C6" s="5" t="s">
        <v>65</v>
      </c>
      <c r="D6" s="5" t="s">
        <v>64</v>
      </c>
      <c r="E6" t="s">
        <v>13</v>
      </c>
      <c r="F6" s="4" t="s">
        <v>43</v>
      </c>
      <c r="G6" s="18">
        <v>240816</v>
      </c>
      <c r="K6" t="s">
        <v>41</v>
      </c>
      <c r="T6" t="s">
        <v>62</v>
      </c>
      <c r="U6">
        <v>5000311480</v>
      </c>
      <c r="V6" s="5" t="s">
        <v>56</v>
      </c>
    </row>
    <row r="7" spans="1:22" x14ac:dyDescent="0.25">
      <c r="B7" s="16" t="s">
        <v>45</v>
      </c>
      <c r="C7" s="5" t="s">
        <v>64</v>
      </c>
      <c r="D7" s="5"/>
      <c r="E7" t="s">
        <v>13</v>
      </c>
      <c r="F7" s="4" t="s">
        <v>43</v>
      </c>
      <c r="G7" s="18">
        <v>83761</v>
      </c>
      <c r="K7" t="s">
        <v>41</v>
      </c>
      <c r="T7" t="s">
        <v>49</v>
      </c>
      <c r="U7">
        <v>5000311480</v>
      </c>
      <c r="V7" s="5" t="s">
        <v>56</v>
      </c>
    </row>
    <row r="8" spans="1:22" hidden="1" x14ac:dyDescent="0.25">
      <c r="B8" s="16" t="s">
        <v>46</v>
      </c>
      <c r="E8" t="s">
        <v>13</v>
      </c>
      <c r="F8" t="s">
        <v>43</v>
      </c>
      <c r="G8" s="19"/>
      <c r="K8" t="s">
        <v>41</v>
      </c>
      <c r="T8" t="s">
        <v>50</v>
      </c>
      <c r="U8">
        <v>5000311480</v>
      </c>
      <c r="V8" s="5" t="s">
        <v>64</v>
      </c>
    </row>
    <row r="9" spans="1:22" x14ac:dyDescent="0.25">
      <c r="A9" s="16"/>
      <c r="B9" s="16" t="s">
        <v>47</v>
      </c>
      <c r="C9" s="5" t="s">
        <v>64</v>
      </c>
      <c r="D9" s="5" t="s">
        <v>67</v>
      </c>
      <c r="E9" t="s">
        <v>13</v>
      </c>
      <c r="F9" s="13" t="s">
        <v>40</v>
      </c>
      <c r="G9" s="11">
        <v>9520</v>
      </c>
      <c r="H9" s="14">
        <f t="shared" ref="H9" si="0">+G9*I9</f>
        <v>0</v>
      </c>
      <c r="K9" t="s">
        <v>41</v>
      </c>
      <c r="T9" t="s">
        <v>51</v>
      </c>
      <c r="U9">
        <v>5000311480</v>
      </c>
      <c r="V9" s="5" t="s">
        <v>65</v>
      </c>
    </row>
    <row r="10" spans="1:22" x14ac:dyDescent="0.25">
      <c r="A10" s="16"/>
      <c r="B10" s="16" t="s">
        <v>48</v>
      </c>
      <c r="E10" t="s">
        <v>13</v>
      </c>
      <c r="F10" s="22" t="s">
        <v>43</v>
      </c>
      <c r="G10" s="18">
        <v>37500</v>
      </c>
      <c r="K10" t="s">
        <v>41</v>
      </c>
      <c r="T10" t="s">
        <v>45</v>
      </c>
      <c r="U10">
        <v>5000311480</v>
      </c>
      <c r="V10" s="5" t="s">
        <v>64</v>
      </c>
    </row>
    <row r="11" spans="1:22" hidden="1" x14ac:dyDescent="0.25">
      <c r="A11" s="16"/>
      <c r="B11" s="16" t="s">
        <v>49</v>
      </c>
      <c r="C11" s="5" t="s">
        <v>56</v>
      </c>
      <c r="E11" t="s">
        <v>13</v>
      </c>
      <c r="F11" t="s">
        <v>43</v>
      </c>
      <c r="G11" s="21">
        <v>0</v>
      </c>
      <c r="K11" t="s">
        <v>41</v>
      </c>
      <c r="T11" t="s">
        <v>54</v>
      </c>
      <c r="U11">
        <v>5000311480</v>
      </c>
      <c r="V11" s="5" t="s">
        <v>65</v>
      </c>
    </row>
    <row r="12" spans="1:22" x14ac:dyDescent="0.25">
      <c r="A12" s="16"/>
      <c r="B12" s="16" t="s">
        <v>50</v>
      </c>
      <c r="C12" s="5" t="s">
        <v>64</v>
      </c>
      <c r="E12" t="s">
        <v>13</v>
      </c>
      <c r="F12" s="4" t="s">
        <v>43</v>
      </c>
      <c r="G12" s="18">
        <v>125920</v>
      </c>
      <c r="K12" t="s">
        <v>41</v>
      </c>
      <c r="T12" t="s">
        <v>54</v>
      </c>
      <c r="U12">
        <v>5000311480</v>
      </c>
      <c r="V12" s="5" t="s">
        <v>64</v>
      </c>
    </row>
    <row r="13" spans="1:22" hidden="1" x14ac:dyDescent="0.25">
      <c r="A13" s="16"/>
      <c r="B13" s="16" t="s">
        <v>51</v>
      </c>
      <c r="C13" s="5" t="s">
        <v>65</v>
      </c>
      <c r="E13" t="s">
        <v>13</v>
      </c>
      <c r="F13" t="s">
        <v>43</v>
      </c>
      <c r="G13" s="7">
        <v>0</v>
      </c>
      <c r="K13" t="s">
        <v>41</v>
      </c>
      <c r="T13" t="s">
        <v>66</v>
      </c>
      <c r="U13">
        <v>5000311480</v>
      </c>
      <c r="V13" s="5" t="s">
        <v>64</v>
      </c>
    </row>
    <row r="14" spans="1:22" hidden="1" x14ac:dyDescent="0.25">
      <c r="A14" s="16"/>
      <c r="B14" s="16" t="s">
        <v>52</v>
      </c>
      <c r="E14" t="s">
        <v>13</v>
      </c>
      <c r="F14" t="s">
        <v>40</v>
      </c>
      <c r="G14" s="7">
        <v>0</v>
      </c>
      <c r="K14" t="s">
        <v>41</v>
      </c>
      <c r="T14" t="s">
        <v>42</v>
      </c>
      <c r="U14">
        <v>5000311480</v>
      </c>
      <c r="V14" s="5" t="s">
        <v>64</v>
      </c>
    </row>
    <row r="15" spans="1:22" hidden="1" x14ac:dyDescent="0.25">
      <c r="A15" s="16"/>
      <c r="B15" s="16" t="s">
        <v>53</v>
      </c>
      <c r="E15" t="s">
        <v>13</v>
      </c>
      <c r="F15" t="s">
        <v>40</v>
      </c>
      <c r="G15" s="20"/>
      <c r="H15" s="14">
        <f t="shared" ref="H15" si="1">+G15*I15</f>
        <v>0</v>
      </c>
      <c r="K15" t="s">
        <v>41</v>
      </c>
      <c r="T15" t="s">
        <v>47</v>
      </c>
      <c r="U15">
        <v>5000311480</v>
      </c>
      <c r="V15" s="5" t="s">
        <v>64</v>
      </c>
    </row>
    <row r="16" spans="1:22" x14ac:dyDescent="0.25">
      <c r="A16" s="16"/>
      <c r="B16" s="16" t="s">
        <v>83</v>
      </c>
      <c r="E16" t="s">
        <v>13</v>
      </c>
      <c r="F16" s="13" t="s">
        <v>40</v>
      </c>
      <c r="G16" s="11">
        <v>49645</v>
      </c>
      <c r="H16" s="14">
        <f t="shared" ref="H16" si="2">+G16*I16</f>
        <v>0</v>
      </c>
      <c r="K16" t="s">
        <v>41</v>
      </c>
      <c r="V16" s="5"/>
    </row>
    <row r="17" spans="1:22" x14ac:dyDescent="0.25">
      <c r="A17" s="16"/>
      <c r="B17" s="23" t="s">
        <v>66</v>
      </c>
      <c r="E17" t="s">
        <v>13</v>
      </c>
      <c r="F17" s="4" t="s">
        <v>43</v>
      </c>
      <c r="G17" s="18">
        <v>14513</v>
      </c>
      <c r="H17" s="14"/>
      <c r="K17" t="s">
        <v>41</v>
      </c>
      <c r="V17" s="5"/>
    </row>
    <row r="18" spans="1:22" x14ac:dyDescent="0.25">
      <c r="A18" s="16"/>
      <c r="B18" s="23" t="s">
        <v>70</v>
      </c>
      <c r="E18" t="s">
        <v>13</v>
      </c>
      <c r="F18" s="4" t="s">
        <v>43</v>
      </c>
      <c r="G18" s="18">
        <v>213731</v>
      </c>
      <c r="H18" s="14"/>
      <c r="K18" t="s">
        <v>41</v>
      </c>
      <c r="V18" s="5"/>
    </row>
    <row r="19" spans="1:22" x14ac:dyDescent="0.25">
      <c r="A19" s="16"/>
      <c r="G19" s="7"/>
      <c r="T19" t="s">
        <v>47</v>
      </c>
      <c r="U19">
        <v>5000311480</v>
      </c>
      <c r="V19" s="5" t="s">
        <v>67</v>
      </c>
    </row>
    <row r="20" spans="1:22" x14ac:dyDescent="0.25">
      <c r="A20" s="16"/>
      <c r="G20" s="7"/>
      <c r="T20" t="s">
        <v>68</v>
      </c>
      <c r="U20">
        <v>5000311480</v>
      </c>
      <c r="V20" s="5" t="s">
        <v>69</v>
      </c>
    </row>
    <row r="21" spans="1:22" x14ac:dyDescent="0.25">
      <c r="A21" s="16"/>
      <c r="B21" s="16" t="s">
        <v>39</v>
      </c>
      <c r="E21" t="s">
        <v>13</v>
      </c>
      <c r="F21" s="4" t="s">
        <v>43</v>
      </c>
      <c r="G21" s="18">
        <v>116258</v>
      </c>
      <c r="H21" s="14">
        <f>+G21*I21</f>
        <v>0</v>
      </c>
      <c r="I21" s="13"/>
      <c r="K21" t="s">
        <v>41</v>
      </c>
      <c r="T21" t="s">
        <v>70</v>
      </c>
      <c r="U21">
        <v>5000311480</v>
      </c>
      <c r="V21" s="5" t="s">
        <v>64</v>
      </c>
    </row>
    <row r="22" spans="1:22" x14ac:dyDescent="0.25">
      <c r="A22" s="16"/>
      <c r="B22" s="16" t="s">
        <v>42</v>
      </c>
      <c r="C22" s="6" t="s">
        <v>64</v>
      </c>
      <c r="E22" t="s">
        <v>13</v>
      </c>
      <c r="F22" s="4" t="s">
        <v>43</v>
      </c>
      <c r="G22" s="18">
        <v>53496</v>
      </c>
      <c r="H22" s="14">
        <f t="shared" ref="H22:H40" si="3">+G22*I22</f>
        <v>0</v>
      </c>
      <c r="I22" s="13"/>
      <c r="K22" t="s">
        <v>41</v>
      </c>
      <c r="T22" t="s">
        <v>71</v>
      </c>
      <c r="U22">
        <v>5000311480</v>
      </c>
      <c r="V22" s="5" t="s">
        <v>72</v>
      </c>
    </row>
    <row r="23" spans="1:22" x14ac:dyDescent="0.25">
      <c r="A23" s="16"/>
      <c r="B23" s="16" t="s">
        <v>44</v>
      </c>
      <c r="C23" s="6" t="s">
        <v>79</v>
      </c>
      <c r="E23" t="s">
        <v>13</v>
      </c>
      <c r="F23" s="4" t="s">
        <v>43</v>
      </c>
      <c r="G23" s="18">
        <v>37768</v>
      </c>
      <c r="H23" s="14">
        <f t="shared" si="3"/>
        <v>0</v>
      </c>
      <c r="I23" s="13"/>
      <c r="K23" t="s">
        <v>41</v>
      </c>
      <c r="T23" t="s">
        <v>73</v>
      </c>
      <c r="U23">
        <v>5000311480</v>
      </c>
      <c r="V23" s="5" t="s">
        <v>74</v>
      </c>
    </row>
    <row r="24" spans="1:22" x14ac:dyDescent="0.25">
      <c r="A24" s="16"/>
      <c r="B24" s="16" t="s">
        <v>54</v>
      </c>
      <c r="C24" s="6" t="s">
        <v>65</v>
      </c>
      <c r="D24" s="6" t="s">
        <v>64</v>
      </c>
      <c r="E24" t="s">
        <v>13</v>
      </c>
      <c r="F24" s="4" t="s">
        <v>43</v>
      </c>
      <c r="G24" s="18">
        <v>478156</v>
      </c>
      <c r="H24" s="14">
        <f t="shared" si="3"/>
        <v>0</v>
      </c>
      <c r="I24" s="15"/>
      <c r="K24" t="s">
        <v>41</v>
      </c>
      <c r="T24" t="s">
        <v>39</v>
      </c>
      <c r="U24">
        <v>5000311480</v>
      </c>
      <c r="V24" s="5" t="s">
        <v>56</v>
      </c>
    </row>
    <row r="25" spans="1:22" x14ac:dyDescent="0.25">
      <c r="A25" s="16"/>
      <c r="B25" s="16" t="s">
        <v>45</v>
      </c>
      <c r="C25" s="6" t="s">
        <v>64</v>
      </c>
      <c r="E25" t="s">
        <v>13</v>
      </c>
      <c r="F25" s="4" t="s">
        <v>43</v>
      </c>
      <c r="G25" s="18">
        <v>119948</v>
      </c>
      <c r="H25" s="14">
        <f t="shared" si="3"/>
        <v>0</v>
      </c>
      <c r="I25" s="15"/>
      <c r="K25" t="s">
        <v>41</v>
      </c>
      <c r="T25" t="s">
        <v>75</v>
      </c>
      <c r="U25">
        <v>5000311480</v>
      </c>
      <c r="V25" s="5" t="s">
        <v>76</v>
      </c>
    </row>
    <row r="26" spans="1:22" hidden="1" x14ac:dyDescent="0.25">
      <c r="A26" s="16"/>
      <c r="B26" s="16" t="s">
        <v>46</v>
      </c>
      <c r="E26" t="s">
        <v>13</v>
      </c>
      <c r="F26" t="s">
        <v>43</v>
      </c>
      <c r="G26" s="18"/>
      <c r="H26" s="14">
        <f t="shared" si="3"/>
        <v>0</v>
      </c>
      <c r="I26" s="12"/>
      <c r="K26" t="s">
        <v>41</v>
      </c>
      <c r="T26" t="s">
        <v>44</v>
      </c>
      <c r="U26">
        <v>5000311480</v>
      </c>
      <c r="V26" s="5" t="s">
        <v>79</v>
      </c>
    </row>
    <row r="27" spans="1:22" x14ac:dyDescent="0.25">
      <c r="A27" s="16"/>
      <c r="B27" s="16" t="s">
        <v>47</v>
      </c>
      <c r="C27" s="6" t="s">
        <v>64</v>
      </c>
      <c r="D27" s="6" t="s">
        <v>67</v>
      </c>
      <c r="E27" t="s">
        <v>13</v>
      </c>
      <c r="F27" s="13" t="s">
        <v>40</v>
      </c>
      <c r="G27" s="11">
        <v>9183</v>
      </c>
      <c r="H27" s="14">
        <f t="shared" si="3"/>
        <v>0</v>
      </c>
      <c r="I27" s="15"/>
      <c r="K27" t="s">
        <v>41</v>
      </c>
      <c r="T27" t="s">
        <v>80</v>
      </c>
      <c r="U27">
        <v>5000311480</v>
      </c>
      <c r="V27" s="5" t="s">
        <v>56</v>
      </c>
    </row>
    <row r="28" spans="1:22" x14ac:dyDescent="0.25">
      <c r="A28" s="16"/>
      <c r="B28" s="16" t="s">
        <v>48</v>
      </c>
      <c r="E28" t="s">
        <v>13</v>
      </c>
      <c r="F28" s="4" t="s">
        <v>43</v>
      </c>
      <c r="G28" s="18">
        <v>37000</v>
      </c>
      <c r="H28" s="14">
        <f t="shared" si="3"/>
        <v>0</v>
      </c>
      <c r="I28" s="12"/>
      <c r="K28" t="s">
        <v>41</v>
      </c>
    </row>
    <row r="29" spans="1:22" hidden="1" x14ac:dyDescent="0.25">
      <c r="A29" s="16"/>
      <c r="B29" s="16" t="s">
        <v>49</v>
      </c>
      <c r="C29" s="6" t="s">
        <v>56</v>
      </c>
      <c r="E29" t="s">
        <v>13</v>
      </c>
      <c r="F29" t="s">
        <v>43</v>
      </c>
      <c r="G29" s="18"/>
      <c r="H29" s="14">
        <f t="shared" si="3"/>
        <v>0</v>
      </c>
      <c r="I29" s="12"/>
      <c r="K29" t="s">
        <v>41</v>
      </c>
    </row>
    <row r="30" spans="1:22" x14ac:dyDescent="0.25">
      <c r="A30" s="16"/>
      <c r="B30" s="16" t="s">
        <v>50</v>
      </c>
      <c r="C30" s="6" t="s">
        <v>64</v>
      </c>
      <c r="E30" t="s">
        <v>13</v>
      </c>
      <c r="F30" s="4" t="s">
        <v>43</v>
      </c>
      <c r="G30" s="18">
        <v>261078</v>
      </c>
      <c r="H30" s="14">
        <f t="shared" si="3"/>
        <v>0</v>
      </c>
      <c r="I30" s="12"/>
      <c r="K30" t="s">
        <v>41</v>
      </c>
      <c r="T30" t="s">
        <v>55</v>
      </c>
      <c r="U30">
        <v>5000311490</v>
      </c>
      <c r="V30" s="6" t="s">
        <v>56</v>
      </c>
    </row>
    <row r="31" spans="1:22" hidden="1" x14ac:dyDescent="0.25">
      <c r="A31" s="16"/>
      <c r="B31" s="16" t="s">
        <v>51</v>
      </c>
      <c r="C31" s="6" t="s">
        <v>65</v>
      </c>
      <c r="E31" t="s">
        <v>13</v>
      </c>
      <c r="F31" t="s">
        <v>40</v>
      </c>
      <c r="G31" s="10">
        <v>0</v>
      </c>
      <c r="H31" s="14">
        <f t="shared" si="3"/>
        <v>0</v>
      </c>
      <c r="I31" s="12"/>
      <c r="K31" t="s">
        <v>41</v>
      </c>
      <c r="T31" t="s">
        <v>57</v>
      </c>
      <c r="U31">
        <v>5000311490</v>
      </c>
      <c r="V31" s="6" t="s">
        <v>56</v>
      </c>
    </row>
    <row r="32" spans="1:22" hidden="1" x14ac:dyDescent="0.25">
      <c r="A32" s="16"/>
      <c r="B32" s="16" t="s">
        <v>52</v>
      </c>
      <c r="E32" t="s">
        <v>13</v>
      </c>
      <c r="F32" t="s">
        <v>40</v>
      </c>
      <c r="G32" s="10">
        <v>0</v>
      </c>
      <c r="H32" s="14">
        <f t="shared" si="3"/>
        <v>0</v>
      </c>
      <c r="I32" s="12"/>
      <c r="K32" t="s">
        <v>41</v>
      </c>
      <c r="T32" t="s">
        <v>58</v>
      </c>
      <c r="U32">
        <v>5000311490</v>
      </c>
      <c r="V32" s="6" t="s">
        <v>56</v>
      </c>
    </row>
    <row r="33" spans="1:22" hidden="1" x14ac:dyDescent="0.25">
      <c r="A33" s="16"/>
      <c r="B33" s="16" t="s">
        <v>53</v>
      </c>
      <c r="E33" t="s">
        <v>13</v>
      </c>
      <c r="F33" t="s">
        <v>40</v>
      </c>
      <c r="G33" s="11"/>
      <c r="H33" s="14">
        <f t="shared" si="3"/>
        <v>0</v>
      </c>
      <c r="I33" s="12"/>
      <c r="K33" t="s">
        <v>41</v>
      </c>
      <c r="T33" t="s">
        <v>62</v>
      </c>
      <c r="U33">
        <v>5000311490</v>
      </c>
      <c r="V33" s="6" t="s">
        <v>56</v>
      </c>
    </row>
    <row r="34" spans="1:22" hidden="1" x14ac:dyDescent="0.25">
      <c r="A34" s="16"/>
      <c r="B34" s="16" t="s">
        <v>81</v>
      </c>
      <c r="E34" t="s">
        <v>13</v>
      </c>
      <c r="F34" t="s">
        <v>40</v>
      </c>
      <c r="G34" s="11"/>
      <c r="H34" s="14">
        <f t="shared" si="3"/>
        <v>0</v>
      </c>
      <c r="I34" s="15"/>
      <c r="K34" t="s">
        <v>41</v>
      </c>
      <c r="T34" t="s">
        <v>49</v>
      </c>
      <c r="U34">
        <v>5000311490</v>
      </c>
      <c r="V34" s="6" t="s">
        <v>56</v>
      </c>
    </row>
    <row r="35" spans="1:22" hidden="1" x14ac:dyDescent="0.25">
      <c r="A35" s="16"/>
      <c r="B35" s="16" t="s">
        <v>68</v>
      </c>
      <c r="E35" t="s">
        <v>13</v>
      </c>
      <c r="F35" t="s">
        <v>40</v>
      </c>
      <c r="G35" s="11"/>
      <c r="H35" s="14">
        <f t="shared" si="3"/>
        <v>0</v>
      </c>
      <c r="I35" s="12"/>
      <c r="K35" t="s">
        <v>41</v>
      </c>
      <c r="T35" t="s">
        <v>63</v>
      </c>
      <c r="U35">
        <v>5000311490</v>
      </c>
      <c r="V35" s="6" t="s">
        <v>56</v>
      </c>
    </row>
    <row r="36" spans="1:22" hidden="1" x14ac:dyDescent="0.25">
      <c r="A36" s="17"/>
      <c r="B36" s="24" t="s">
        <v>82</v>
      </c>
      <c r="C36" s="4"/>
      <c r="D36" s="4"/>
      <c r="E36" t="s">
        <v>13</v>
      </c>
      <c r="F36" t="s">
        <v>43</v>
      </c>
      <c r="G36" s="18"/>
      <c r="H36" s="14"/>
      <c r="I36" s="12"/>
      <c r="J36" s="4"/>
      <c r="K36" t="s">
        <v>41</v>
      </c>
      <c r="L36" s="4"/>
      <c r="N36" s="8"/>
      <c r="T36" t="s">
        <v>50</v>
      </c>
      <c r="U36">
        <v>5000311490</v>
      </c>
      <c r="V36" s="6" t="s">
        <v>64</v>
      </c>
    </row>
    <row r="37" spans="1:22" s="4" customFormat="1" x14ac:dyDescent="0.25">
      <c r="A37" s="17"/>
      <c r="B37" s="16" t="s">
        <v>83</v>
      </c>
      <c r="C37"/>
      <c r="D37"/>
      <c r="E37" t="s">
        <v>13</v>
      </c>
      <c r="F37" s="13" t="s">
        <v>40</v>
      </c>
      <c r="G37" s="11">
        <v>71115</v>
      </c>
      <c r="H37" s="14">
        <f t="shared" si="3"/>
        <v>0</v>
      </c>
      <c r="I37"/>
      <c r="J37"/>
      <c r="K37" t="s">
        <v>41</v>
      </c>
      <c r="M37"/>
      <c r="T37" t="s">
        <v>51</v>
      </c>
      <c r="U37">
        <v>5000311490</v>
      </c>
      <c r="V37" s="6" t="s">
        <v>65</v>
      </c>
    </row>
    <row r="38" spans="1:22" hidden="1" x14ac:dyDescent="0.25">
      <c r="A38" s="16"/>
      <c r="B38" s="16" t="s">
        <v>81</v>
      </c>
      <c r="E38" t="s">
        <v>13</v>
      </c>
      <c r="F38" t="s">
        <v>43</v>
      </c>
      <c r="G38" s="18"/>
      <c r="H38" s="14">
        <f t="shared" si="3"/>
        <v>0</v>
      </c>
      <c r="K38" t="s">
        <v>41</v>
      </c>
      <c r="T38" t="s">
        <v>45</v>
      </c>
      <c r="U38">
        <v>5000311490</v>
      </c>
      <c r="V38" s="6" t="s">
        <v>64</v>
      </c>
    </row>
    <row r="39" spans="1:22" x14ac:dyDescent="0.25">
      <c r="A39" s="4"/>
      <c r="B39" s="23" t="s">
        <v>66</v>
      </c>
      <c r="C39" s="9"/>
      <c r="D39" s="4"/>
      <c r="E39" t="s">
        <v>13</v>
      </c>
      <c r="F39" s="4" t="s">
        <v>43</v>
      </c>
      <c r="G39" s="18">
        <v>12859</v>
      </c>
      <c r="H39" s="14">
        <f t="shared" si="3"/>
        <v>0</v>
      </c>
      <c r="K39" t="s">
        <v>41</v>
      </c>
      <c r="T39" t="s">
        <v>54</v>
      </c>
      <c r="U39">
        <v>5000311490</v>
      </c>
      <c r="V39" s="6" t="s">
        <v>65</v>
      </c>
    </row>
    <row r="40" spans="1:22" x14ac:dyDescent="0.25">
      <c r="B40" s="23" t="s">
        <v>70</v>
      </c>
      <c r="E40" t="s">
        <v>13</v>
      </c>
      <c r="F40" s="4" t="s">
        <v>43</v>
      </c>
      <c r="G40" s="18">
        <v>209815</v>
      </c>
      <c r="H40" s="14">
        <f t="shared" si="3"/>
        <v>0</v>
      </c>
      <c r="K40" t="s">
        <v>41</v>
      </c>
      <c r="T40" t="s">
        <v>54</v>
      </c>
      <c r="U40">
        <v>5000311490</v>
      </c>
      <c r="V40" s="6" t="s">
        <v>64</v>
      </c>
    </row>
    <row r="41" spans="1:22" x14ac:dyDescent="0.25">
      <c r="T41" t="s">
        <v>66</v>
      </c>
      <c r="U41">
        <v>5000311490</v>
      </c>
      <c r="V41" s="6" t="s">
        <v>64</v>
      </c>
    </row>
    <row r="42" spans="1:22" x14ac:dyDescent="0.25">
      <c r="T42" t="s">
        <v>42</v>
      </c>
      <c r="U42">
        <v>5000311490</v>
      </c>
      <c r="V42" s="6" t="s">
        <v>64</v>
      </c>
    </row>
    <row r="43" spans="1:22" x14ac:dyDescent="0.25">
      <c r="T43" t="s">
        <v>47</v>
      </c>
      <c r="U43">
        <v>5000311490</v>
      </c>
      <c r="V43" s="6" t="s">
        <v>64</v>
      </c>
    </row>
    <row r="44" spans="1:22" x14ac:dyDescent="0.25">
      <c r="T44" t="s">
        <v>47</v>
      </c>
      <c r="U44">
        <v>5000311490</v>
      </c>
      <c r="V44" s="6" t="s">
        <v>67</v>
      </c>
    </row>
    <row r="45" spans="1:22" x14ac:dyDescent="0.25">
      <c r="T45" t="s">
        <v>68</v>
      </c>
      <c r="U45">
        <v>5000311490</v>
      </c>
      <c r="V45" s="6" t="s">
        <v>69</v>
      </c>
    </row>
    <row r="46" spans="1:22" x14ac:dyDescent="0.25">
      <c r="T46" t="s">
        <v>70</v>
      </c>
      <c r="U46">
        <v>5000311490</v>
      </c>
      <c r="V46" s="6" t="s">
        <v>64</v>
      </c>
    </row>
    <row r="47" spans="1:22" x14ac:dyDescent="0.25">
      <c r="T47" t="s">
        <v>71</v>
      </c>
      <c r="U47">
        <v>5000311490</v>
      </c>
      <c r="V47" s="6" t="s">
        <v>72</v>
      </c>
    </row>
    <row r="48" spans="1:22" x14ac:dyDescent="0.25">
      <c r="T48" t="s">
        <v>73</v>
      </c>
      <c r="U48">
        <v>5000311490</v>
      </c>
      <c r="V48" s="6" t="s">
        <v>74</v>
      </c>
    </row>
    <row r="49" spans="20:22" x14ac:dyDescent="0.25">
      <c r="T49" t="s">
        <v>39</v>
      </c>
      <c r="U49">
        <v>5000311490</v>
      </c>
      <c r="V49" s="6" t="s">
        <v>56</v>
      </c>
    </row>
    <row r="50" spans="20:22" x14ac:dyDescent="0.25">
      <c r="T50" t="s">
        <v>75</v>
      </c>
      <c r="U50">
        <v>5000311490</v>
      </c>
      <c r="V50" s="6" t="s">
        <v>76</v>
      </c>
    </row>
    <row r="51" spans="20:22" x14ac:dyDescent="0.25">
      <c r="T51" t="s">
        <v>77</v>
      </c>
      <c r="U51">
        <v>5000311490</v>
      </c>
      <c r="V51" s="6" t="s">
        <v>78</v>
      </c>
    </row>
    <row r="52" spans="20:22" x14ac:dyDescent="0.25">
      <c r="T52" t="s">
        <v>44</v>
      </c>
      <c r="U52">
        <v>5000311490</v>
      </c>
      <c r="V52" s="6" t="s">
        <v>79</v>
      </c>
    </row>
    <row r="53" spans="20:22" x14ac:dyDescent="0.25">
      <c r="T53" t="s">
        <v>80</v>
      </c>
      <c r="U53">
        <v>5000311490</v>
      </c>
      <c r="V53" s="6" t="s">
        <v>56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>
      <selection sqref="A1:D14"/>
    </sheetView>
  </sheetViews>
  <sheetFormatPr baseColWidth="10" defaultRowHeight="14.25" x14ac:dyDescent="0.25"/>
  <cols>
    <col min="1" max="1" width="11" style="2" bestFit="1" customWidth="1"/>
    <col min="2" max="2" width="28.140625" style="2" bestFit="1" customWidth="1"/>
    <col min="3" max="3" width="34.28515625" style="2" bestFit="1" customWidth="1"/>
    <col min="4" max="4" width="13" style="3" bestFit="1" customWidth="1"/>
    <col min="5" max="16384" width="11.42578125" style="2"/>
  </cols>
  <sheetData>
    <row r="1" spans="1:4" x14ac:dyDescent="0.25">
      <c r="B1" s="2" t="s">
        <v>33</v>
      </c>
      <c r="C1" s="2" t="s">
        <v>34</v>
      </c>
      <c r="D1" s="3" t="s">
        <v>27</v>
      </c>
    </row>
    <row r="2" spans="1:4" x14ac:dyDescent="0.25">
      <c r="A2" s="2" t="s">
        <v>0</v>
      </c>
      <c r="C2" s="2" t="s">
        <v>25</v>
      </c>
      <c r="D2" s="3" t="s">
        <v>18</v>
      </c>
    </row>
    <row r="3" spans="1:4" x14ac:dyDescent="0.25">
      <c r="A3" s="2" t="s">
        <v>7</v>
      </c>
      <c r="B3" s="2" t="s">
        <v>21</v>
      </c>
      <c r="C3" s="2" t="s">
        <v>25</v>
      </c>
      <c r="D3" s="3" t="s">
        <v>5</v>
      </c>
    </row>
    <row r="4" spans="1:4" x14ac:dyDescent="0.25">
      <c r="A4" s="2" t="s">
        <v>8</v>
      </c>
      <c r="B4" s="2" t="s">
        <v>22</v>
      </c>
      <c r="C4" s="2" t="s">
        <v>25</v>
      </c>
      <c r="D4" s="3" t="s">
        <v>13</v>
      </c>
    </row>
    <row r="5" spans="1:4" x14ac:dyDescent="0.25">
      <c r="A5" s="2" t="s">
        <v>1</v>
      </c>
      <c r="B5" s="2" t="s">
        <v>23</v>
      </c>
      <c r="C5" s="2" t="s">
        <v>25</v>
      </c>
      <c r="D5" s="3" t="s">
        <v>6</v>
      </c>
    </row>
    <row r="6" spans="1:4" x14ac:dyDescent="0.25">
      <c r="A6" s="2" t="s">
        <v>2</v>
      </c>
      <c r="B6" s="2" t="s">
        <v>35</v>
      </c>
      <c r="C6" s="2" t="s">
        <v>25</v>
      </c>
      <c r="D6" s="3">
        <v>15000</v>
      </c>
    </row>
    <row r="7" spans="1:4" x14ac:dyDescent="0.25">
      <c r="A7" s="2" t="s">
        <v>14</v>
      </c>
      <c r="B7" s="2" t="s">
        <v>28</v>
      </c>
      <c r="C7" s="2" t="s">
        <v>25</v>
      </c>
      <c r="D7" s="3" t="s">
        <v>4</v>
      </c>
    </row>
    <row r="8" spans="1:4" x14ac:dyDescent="0.25">
      <c r="A8" s="2" t="s">
        <v>3</v>
      </c>
      <c r="B8" s="2" t="s">
        <v>36</v>
      </c>
      <c r="C8" s="2" t="s">
        <v>29</v>
      </c>
    </row>
    <row r="9" spans="1:4" x14ac:dyDescent="0.25">
      <c r="A9" s="2" t="s">
        <v>15</v>
      </c>
      <c r="B9" s="2" t="s">
        <v>36</v>
      </c>
      <c r="C9" s="2" t="s">
        <v>30</v>
      </c>
    </row>
    <row r="10" spans="1:4" x14ac:dyDescent="0.25">
      <c r="A10" s="2" t="s">
        <v>10</v>
      </c>
      <c r="B10" s="2" t="s">
        <v>31</v>
      </c>
      <c r="C10" s="2" t="s">
        <v>25</v>
      </c>
      <c r="D10" s="3" t="s">
        <v>9</v>
      </c>
    </row>
    <row r="11" spans="1:4" x14ac:dyDescent="0.25">
      <c r="A11" s="2" t="s">
        <v>11</v>
      </c>
      <c r="B11" s="2" t="s">
        <v>37</v>
      </c>
      <c r="C11" s="2" t="s">
        <v>24</v>
      </c>
    </row>
    <row r="12" spans="1:4" x14ac:dyDescent="0.25">
      <c r="A12" s="2" t="s">
        <v>16</v>
      </c>
      <c r="C12" s="2" t="s">
        <v>25</v>
      </c>
      <c r="D12" s="3" t="s">
        <v>19</v>
      </c>
    </row>
    <row r="13" spans="1:4" x14ac:dyDescent="0.25">
      <c r="A13" s="2" t="s">
        <v>17</v>
      </c>
      <c r="C13" s="2" t="s">
        <v>32</v>
      </c>
      <c r="D13" s="3">
        <v>20220922</v>
      </c>
    </row>
    <row r="14" spans="1:4" x14ac:dyDescent="0.25">
      <c r="A14" s="2" t="s">
        <v>12</v>
      </c>
      <c r="C14" s="2" t="s">
        <v>26</v>
      </c>
      <c r="D14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Template_Import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Mournetas, Sebastien</dc:creator>
  <cp:lastModifiedBy>Durand, Remi</cp:lastModifiedBy>
  <dcterms:created xsi:type="dcterms:W3CDTF">2022-09-22T08:26:51Z</dcterms:created>
  <dcterms:modified xsi:type="dcterms:W3CDTF">2026-01-20T16:46:30Z</dcterms:modified>
</cp:coreProperties>
</file>